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Desktop\Nigeria_Malaria_Equity_Analysis\Clean_Data\"/>
    </mc:Choice>
  </mc:AlternateContent>
  <xr:revisionPtr revIDLastSave="0" documentId="13_ncr:1_{731CBF8E-2233-4DDC-9CA1-1EB5C8E09CEB}" xr6:coauthVersionLast="47" xr6:coauthVersionMax="47" xr10:uidLastSave="{00000000-0000-0000-0000-000000000000}"/>
  <bookViews>
    <workbookView xWindow="-120" yWindow="-120" windowWidth="19800" windowHeight="11760" xr2:uid="{38032697-931D-4E1C-A280-9DA8C9CEC9B2}"/>
  </bookViews>
  <sheets>
    <sheet name="Master_Datatset" sheetId="1" r:id="rId1"/>
    <sheet name="Insight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H3" i="1"/>
  <c r="H4" i="1"/>
  <c r="H5" i="1"/>
  <c r="H6" i="1"/>
  <c r="H7" i="1"/>
</calcChain>
</file>

<file path=xl/sharedStrings.xml><?xml version="1.0" encoding="utf-8"?>
<sst xmlns="http://schemas.openxmlformats.org/spreadsheetml/2006/main" count="15" uniqueCount="15">
  <si>
    <t>Zone</t>
  </si>
  <si>
    <t>Malalria_prevalence</t>
  </si>
  <si>
    <t>ITN_Use_U5</t>
  </si>
  <si>
    <t>ITN_Use_Pregnancy</t>
  </si>
  <si>
    <t>ITN_Ownership</t>
  </si>
  <si>
    <t>IPTp3_Plus</t>
  </si>
  <si>
    <t>North Central</t>
  </si>
  <si>
    <t>North East</t>
  </si>
  <si>
    <t>North  West</t>
  </si>
  <si>
    <t>South East</t>
  </si>
  <si>
    <t>South South</t>
  </si>
  <si>
    <t>South West</t>
  </si>
  <si>
    <t>Prevalence Rank</t>
  </si>
  <si>
    <t>Priority_Category</t>
  </si>
  <si>
    <t>Key Findings
North West recorded the highest malaria prevalence (29.8%) among the six geopolitical zones.
North West also recorded the highest ITN ownership (75.8%) and the highest ITN use among children under 5 (54.6%).
South East recorded the highest IPTp 3+ coverage (41.2%).
South South and South West recorded the lowest ITN use among children under 5 (23.7% and 22.2% respectively).
Despite having the strongest ITN ownership and use, North West continues to carry the highest malaria burden — indicating that current interventions alone are not sufficient in this zone.
Programmatic Implications
High ITN coverage does not automatically translate to low malaria burden.
North West requires deeper investigation beyond net distribution (possible drivers: housing quality, environmental factors, insecticide effectiveness, or care-seeking behavior).
Low ITN utilization in the South South and South West points to a need for stronger behavior change communication.
Recommendations
Prioritize North West for enhanced malaria surveillance and targeted operational research.
Design focused ITN utilization campaigns in South South and South West.
Document and potentially scale the maternal malaria prevention approaches that appear stronger in the South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</si>
</sst>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horizontal="center" wrapText="1"/>
    </xf>
  </cellXfs>
  <cellStyles count="1">
    <cellStyle name="Normal" xfId="0" builtinId="0"/>
  </cellStyles>
  <dxfs count="2">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391C7F-E813-4187-A083-628B32AFD6C5}" name="Table1" displayName="Table1" ref="A1:H7" totalsRowShown="0">
  <autoFilter ref="A1:H7" xr:uid="{37391C7F-E813-4187-A083-628B32AFD6C5}"/>
  <tableColumns count="8">
    <tableColumn id="1" xr3:uid="{78F21910-6FA6-47E3-858A-68BB5AB8F4EE}" name="Zone"/>
    <tableColumn id="2" xr3:uid="{52671DAC-09A4-46BD-80B8-29D0C4174A5D}" name="Malalria_prevalence" dataDxfId="1"/>
    <tableColumn id="3" xr3:uid="{15599B18-8F24-4B7D-99F6-111B64DA7FF2}" name="ITN_Ownership"/>
    <tableColumn id="4" xr3:uid="{D7403F97-D512-4474-9EAD-68BAC38EAD7C}" name="ITN_Use_U5"/>
    <tableColumn id="5" xr3:uid="{CD66EFDD-CB1B-489E-87E3-8ED019484DA5}" name="ITN_Use_Pregnancy"/>
    <tableColumn id="6" xr3:uid="{923E13F8-65C9-41B0-A225-C66B9C763541}" name="IPTp3_Plus"/>
    <tableColumn id="7" xr3:uid="{FF543358-15E4-44A8-866C-72A9B6FDA019}" name="Prevalence Rank"/>
    <tableColumn id="8" xr3:uid="{4ED459C1-D5D3-4E81-BCAA-658B1BB44305}" name="Priority_Category" dataDxfId="0">
      <calculatedColumnFormula>IF(B2&gt;=20,"High Priority", IF(B2&gt;=17,"Moderate Priority", "Low Priority"))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AC124-711F-4E3A-A3D7-C9FF760B4FD6}">
  <dimension ref="A1:H7"/>
  <sheetViews>
    <sheetView tabSelected="1" zoomScaleNormal="100" workbookViewId="0">
      <selection activeCell="G11" sqref="G11"/>
    </sheetView>
  </sheetViews>
  <sheetFormatPr defaultRowHeight="15" x14ac:dyDescent="0.25"/>
  <cols>
    <col min="1" max="1" width="13.140625" bestFit="1" customWidth="1"/>
    <col min="2" max="2" width="21.28515625" customWidth="1"/>
    <col min="3" max="3" width="16.85546875" customWidth="1"/>
    <col min="4" max="4" width="14" customWidth="1"/>
    <col min="5" max="5" width="20.7109375" customWidth="1"/>
    <col min="6" max="6" width="12.7109375" customWidth="1"/>
    <col min="7" max="7" width="17.7109375" customWidth="1"/>
    <col min="8" max="8" width="19.140625" bestFit="1" customWidth="1"/>
    <col min="9" max="9" width="24.42578125" bestFit="1" customWidth="1"/>
    <col min="10" max="10" width="23.5703125" bestFit="1" customWidth="1"/>
  </cols>
  <sheetData>
    <row r="1" spans="1:8" x14ac:dyDescent="0.25">
      <c r="A1" t="s">
        <v>0</v>
      </c>
      <c r="B1" t="s">
        <v>1</v>
      </c>
      <c r="C1" t="s">
        <v>4</v>
      </c>
      <c r="D1" t="s">
        <v>2</v>
      </c>
      <c r="E1" t="s">
        <v>3</v>
      </c>
      <c r="F1" t="s">
        <v>5</v>
      </c>
      <c r="G1" t="s">
        <v>12</v>
      </c>
      <c r="H1" t="s">
        <v>13</v>
      </c>
    </row>
    <row r="2" spans="1:8" x14ac:dyDescent="0.25">
      <c r="A2" t="s">
        <v>6</v>
      </c>
      <c r="B2" s="1">
        <v>17</v>
      </c>
      <c r="C2">
        <v>49.9</v>
      </c>
      <c r="D2">
        <v>30.5</v>
      </c>
      <c r="E2">
        <v>35.1</v>
      </c>
      <c r="F2">
        <v>35.5</v>
      </c>
      <c r="G2">
        <v>5</v>
      </c>
      <c r="H2" s="1" t="str">
        <f t="shared" ref="H2:H7" si="0">IF(B2&gt;=20,"High Priority", IF(B2&gt;=17,"Moderate Priority", "Low Priority"))</f>
        <v>Moderate Priority</v>
      </c>
    </row>
    <row r="3" spans="1:8" x14ac:dyDescent="0.25">
      <c r="A3" t="s">
        <v>7</v>
      </c>
      <c r="B3" s="1">
        <v>20.100000000000001</v>
      </c>
      <c r="C3">
        <v>72</v>
      </c>
      <c r="D3">
        <v>50.8</v>
      </c>
      <c r="E3">
        <v>65</v>
      </c>
      <c r="F3">
        <v>27.3</v>
      </c>
      <c r="G3">
        <v>2</v>
      </c>
      <c r="H3" s="1" t="str">
        <f t="shared" si="0"/>
        <v>High Priority</v>
      </c>
    </row>
    <row r="4" spans="1:8" x14ac:dyDescent="0.25">
      <c r="A4" t="s">
        <v>8</v>
      </c>
      <c r="B4" s="1">
        <v>29.8</v>
      </c>
      <c r="C4">
        <v>75.8</v>
      </c>
      <c r="D4">
        <v>54.6</v>
      </c>
      <c r="E4">
        <v>59.5</v>
      </c>
      <c r="F4">
        <v>30.1</v>
      </c>
      <c r="G4">
        <v>1</v>
      </c>
      <c r="H4" s="1" t="str">
        <f t="shared" si="0"/>
        <v>High Priority</v>
      </c>
    </row>
    <row r="5" spans="1:8" x14ac:dyDescent="0.25">
      <c r="A5" t="s">
        <v>9</v>
      </c>
      <c r="B5" s="1">
        <v>18.7</v>
      </c>
      <c r="C5">
        <v>36.9</v>
      </c>
      <c r="D5">
        <v>29.5</v>
      </c>
      <c r="E5">
        <v>27.4</v>
      </c>
      <c r="F5">
        <v>41.2</v>
      </c>
      <c r="G5">
        <v>3</v>
      </c>
      <c r="H5" s="1" t="str">
        <f t="shared" si="0"/>
        <v>Moderate Priority</v>
      </c>
    </row>
    <row r="6" spans="1:8" x14ac:dyDescent="0.25">
      <c r="A6" t="s">
        <v>10</v>
      </c>
      <c r="B6" s="1">
        <v>17.8</v>
      </c>
      <c r="C6">
        <v>39.299999999999997</v>
      </c>
      <c r="D6">
        <v>23.7</v>
      </c>
      <c r="E6">
        <v>20.6</v>
      </c>
      <c r="F6">
        <v>29.3</v>
      </c>
      <c r="G6">
        <v>4</v>
      </c>
      <c r="H6" s="1" t="str">
        <f t="shared" si="0"/>
        <v>Moderate Priority</v>
      </c>
    </row>
    <row r="7" spans="1:8" x14ac:dyDescent="0.25">
      <c r="A7" t="s">
        <v>11</v>
      </c>
      <c r="B7" s="1">
        <v>16.2</v>
      </c>
      <c r="C7">
        <v>42.5</v>
      </c>
      <c r="D7">
        <v>22.2</v>
      </c>
      <c r="E7">
        <v>22.8</v>
      </c>
      <c r="F7">
        <v>27.9</v>
      </c>
      <c r="G7">
        <v>6</v>
      </c>
      <c r="H7" s="1" t="str">
        <f t="shared" si="0"/>
        <v>Low Priority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E9D0-CDCA-4051-B87F-27D04E968203}">
  <dimension ref="A1:J1"/>
  <sheetViews>
    <sheetView topLeftCell="A4" zoomScale="90" zoomScaleNormal="90" workbookViewId="0">
      <selection activeCell="M1" sqref="M1"/>
    </sheetView>
  </sheetViews>
  <sheetFormatPr defaultRowHeight="15" x14ac:dyDescent="0.25"/>
  <sheetData>
    <row r="1" spans="1:10" ht="409.5" customHeight="1" x14ac:dyDescent="0.25">
      <c r="A1" s="2" t="s">
        <v>14</v>
      </c>
      <c r="B1" s="2"/>
      <c r="C1" s="2"/>
      <c r="D1" s="2"/>
      <c r="E1" s="2"/>
      <c r="F1" s="2"/>
      <c r="G1" s="2"/>
      <c r="H1" s="2"/>
      <c r="I1" s="2"/>
      <c r="J1" s="2"/>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Master_Datatset</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Saleh</dc:creator>
  <cp:lastModifiedBy>Faisal Saleh</cp:lastModifiedBy>
  <dcterms:created xsi:type="dcterms:W3CDTF">2026-08-13T16:17:59Z</dcterms:created>
  <dcterms:modified xsi:type="dcterms:W3CDTF">2026-08-16T09:27:36Z</dcterms:modified>
</cp:coreProperties>
</file>